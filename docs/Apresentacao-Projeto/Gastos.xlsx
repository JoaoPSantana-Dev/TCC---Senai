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D:\Eduardo_Pereira\tds-2\"/>
    </mc:Choice>
  </mc:AlternateContent>
  <xr:revisionPtr revIDLastSave="0" documentId="8_{A66A2565-C957-4370-BD87-F1F86392CC3A}" xr6:coauthVersionLast="47" xr6:coauthVersionMax="47" xr10:uidLastSave="{00000000-0000-0000-0000-000000000000}"/>
  <bookViews>
    <workbookView xWindow="14295" yWindow="0" windowWidth="14610" windowHeight="15585" xr2:uid="{8A9DE451-E280-48F9-B9ED-0D23C06AE77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15" i="1"/>
  <c r="B34" i="1" s="1"/>
</calcChain>
</file>

<file path=xl/sharedStrings.xml><?xml version="1.0" encoding="utf-8"?>
<sst xmlns="http://schemas.openxmlformats.org/spreadsheetml/2006/main" count="40" uniqueCount="33">
  <si>
    <t>Custo de Recursos Humanos</t>
  </si>
  <si>
    <t xml:space="preserve">Nome </t>
  </si>
  <si>
    <t>Eduardo</t>
  </si>
  <si>
    <t>João Paulo</t>
  </si>
  <si>
    <t>Thalles</t>
  </si>
  <si>
    <t>Tomás</t>
  </si>
  <si>
    <t>João Pedro</t>
  </si>
  <si>
    <t>Horas trabalhadas</t>
  </si>
  <si>
    <t>Valor por hora</t>
  </si>
  <si>
    <t>Dias trabalhados
por semana</t>
  </si>
  <si>
    <t>Semanas trabalhadas
2° semestre</t>
  </si>
  <si>
    <t>Lucro</t>
  </si>
  <si>
    <t>Total</t>
  </si>
  <si>
    <t>Custo total da equipe</t>
  </si>
  <si>
    <t>Custo de Recursos Tecnológicos</t>
  </si>
  <si>
    <t>Hospedagem</t>
  </si>
  <si>
    <t>HostGator em 3 anos</t>
  </si>
  <si>
    <t>Infraestrutura</t>
  </si>
  <si>
    <t>Totem Touch Screen</t>
  </si>
  <si>
    <t>Custo total</t>
  </si>
  <si>
    <t>Custos Indiretos</t>
  </si>
  <si>
    <t>Nome</t>
  </si>
  <si>
    <t>Horas consumidas</t>
  </si>
  <si>
    <t>Potência Watts/hora</t>
  </si>
  <si>
    <t>Consumo Semestral de
Energia (kWh)</t>
  </si>
  <si>
    <t>Tarifa SP (R$/kWh)</t>
  </si>
  <si>
    <t>Valor total energia (R$)</t>
  </si>
  <si>
    <t>Custo total de energia
da equipe</t>
  </si>
  <si>
    <t>Internet (6 meses)</t>
  </si>
  <si>
    <t>PC DELL OptiPlex 3000</t>
  </si>
  <si>
    <t>Monitor DELL C2423h</t>
  </si>
  <si>
    <t>Custo equipamentos</t>
  </si>
  <si>
    <t>Custo total do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</si>
</sst>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8" formatCode="&quot;R$&quot;\ #,##0.00;[Red]\-&quot;R$&quot;\ #,##0.00"/>
    <numFmt numFmtId="43" formatCode="_-* #,##0.00_-;\-* #,##0.00_-;_-* &quot;-&quot;??_-;_-@_-"/>
    <numFmt numFmtId="164" formatCode="_-* #,##0.0_-;\-* #,##0.0_-;_-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6" fontId="0" fillId="0" borderId="1" xfId="0" applyNumberFormat="1" applyBorder="1"/>
    <xf numFmtId="8" fontId="0" fillId="0" borderId="1" xfId="0" applyNumberFormat="1" applyBorder="1"/>
    <xf numFmtId="0" fontId="0" fillId="0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9" fontId="0" fillId="3" borderId="1" xfId="0" applyNumberFormat="1" applyFill="1" applyBorder="1"/>
    <xf numFmtId="8" fontId="0" fillId="3" borderId="1" xfId="0" applyNumberFormat="1" applyFill="1" applyBorder="1"/>
    <xf numFmtId="43" fontId="0" fillId="2" borderId="1" xfId="1" applyFont="1" applyFill="1" applyBorder="1" applyAlignment="1">
      <alignment horizontal="center" wrapText="1"/>
    </xf>
    <xf numFmtId="8" fontId="0" fillId="2" borderId="1" xfId="1" applyNumberFormat="1" applyFont="1" applyFill="1" applyBorder="1" applyAlignment="1">
      <alignment horizontal="center" wrapText="1"/>
    </xf>
    <xf numFmtId="0" fontId="0" fillId="2" borderId="1" xfId="0" applyFill="1" applyBorder="1"/>
    <xf numFmtId="43" fontId="0" fillId="3" borderId="1" xfId="1" applyFont="1" applyFill="1" applyBorder="1" applyAlignment="1">
      <alignment wrapText="1"/>
    </xf>
    <xf numFmtId="8" fontId="0" fillId="2" borderId="3" xfId="0" applyNumberFormat="1" applyFill="1" applyBorder="1" applyAlignment="1">
      <alignment horizontal="center"/>
    </xf>
    <xf numFmtId="8" fontId="0" fillId="2" borderId="4" xfId="0" applyNumberFormat="1" applyFill="1" applyBorder="1" applyAlignment="1">
      <alignment horizontal="center"/>
    </xf>
    <xf numFmtId="8" fontId="0" fillId="2" borderId="5" xfId="0" applyNumberFormat="1" applyFill="1" applyBorder="1" applyAlignment="1">
      <alignment horizontal="center"/>
    </xf>
    <xf numFmtId="8" fontId="0" fillId="3" borderId="3" xfId="1" applyNumberFormat="1" applyFont="1" applyFill="1" applyBorder="1" applyAlignment="1">
      <alignment horizontal="center" wrapText="1"/>
    </xf>
    <xf numFmtId="8" fontId="0" fillId="3" borderId="4" xfId="1" applyNumberFormat="1" applyFont="1" applyFill="1" applyBorder="1" applyAlignment="1">
      <alignment horizontal="center" wrapText="1"/>
    </xf>
    <xf numFmtId="8" fontId="0" fillId="3" borderId="5" xfId="1" applyNumberFormat="1" applyFont="1" applyFill="1" applyBorder="1" applyAlignment="1">
      <alignment horizontal="center" wrapText="1"/>
    </xf>
    <xf numFmtId="8" fontId="0" fillId="3" borderId="3" xfId="0" applyNumberFormat="1" applyFill="1" applyBorder="1" applyAlignment="1">
      <alignment horizontal="center"/>
    </xf>
    <xf numFmtId="8" fontId="0" fillId="3" borderId="4" xfId="0" applyNumberFormat="1" applyFill="1" applyBorder="1" applyAlignment="1">
      <alignment horizontal="center"/>
    </xf>
    <xf numFmtId="8" fontId="0" fillId="3" borderId="5" xfId="0" applyNumberFormat="1" applyFill="1" applyBorder="1" applyAlignment="1">
      <alignment horizontal="center"/>
    </xf>
    <xf numFmtId="43" fontId="0" fillId="3" borderId="3" xfId="1" applyFont="1" applyFill="1" applyBorder="1" applyAlignment="1">
      <alignment horizontal="center" wrapText="1"/>
    </xf>
    <xf numFmtId="43" fontId="0" fillId="3" borderId="4" xfId="1" applyFont="1" applyFill="1" applyBorder="1" applyAlignment="1">
      <alignment horizontal="center" wrapText="1"/>
    </xf>
    <xf numFmtId="43" fontId="0" fillId="3" borderId="5" xfId="1" applyFont="1" applyFill="1" applyBorder="1" applyAlignment="1">
      <alignment horizontal="center" wrapText="1"/>
    </xf>
    <xf numFmtId="164" fontId="0" fillId="2" borderId="3" xfId="1" applyNumberFormat="1" applyFont="1" applyFill="1" applyBorder="1" applyAlignment="1">
      <alignment horizontal="center" wrapText="1"/>
    </xf>
    <xf numFmtId="164" fontId="0" fillId="2" borderId="5" xfId="1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43" fontId="0" fillId="3" borderId="6" xfId="1" applyFont="1" applyFill="1" applyBorder="1" applyAlignment="1">
      <alignment horizontal="center"/>
    </xf>
    <xf numFmtId="0" fontId="0" fillId="0" borderId="7" xfId="0" applyFill="1" applyBorder="1" applyAlignment="1">
      <alignment wrapText="1"/>
    </xf>
    <xf numFmtId="0" fontId="0" fillId="0" borderId="7" xfId="0" applyBorder="1"/>
    <xf numFmtId="43" fontId="0" fillId="2" borderId="6" xfId="1" applyFont="1" applyFill="1" applyBorder="1" applyAlignment="1">
      <alignment horizontal="center" wrapText="1"/>
    </xf>
    <xf numFmtId="8" fontId="0" fillId="2" borderId="6" xfId="1" applyNumberFormat="1" applyFont="1" applyFill="1" applyBorder="1" applyAlignment="1">
      <alignment horizontal="center" wrapText="1"/>
    </xf>
    <xf numFmtId="43" fontId="0" fillId="3" borderId="8" xfId="1" applyFont="1" applyFill="1" applyBorder="1" applyAlignment="1">
      <alignment horizontal="center" wrapText="1"/>
    </xf>
    <xf numFmtId="43" fontId="0" fillId="3" borderId="9" xfId="1" applyFont="1" applyFill="1" applyBorder="1" applyAlignment="1">
      <alignment horizontal="center" wrapText="1"/>
    </xf>
    <xf numFmtId="43" fontId="0" fillId="3" borderId="10" xfId="1" applyFont="1" applyFill="1" applyBorder="1" applyAlignment="1">
      <alignment horizontal="center" wrapText="1"/>
    </xf>
    <xf numFmtId="8" fontId="0" fillId="3" borderId="8" xfId="1" applyNumberFormat="1" applyFont="1" applyFill="1" applyBorder="1" applyAlignment="1">
      <alignment wrapText="1"/>
    </xf>
    <xf numFmtId="0" fontId="0" fillId="3" borderId="6" xfId="0" applyFill="1" applyBorder="1" applyAlignment="1">
      <alignment horizontal="center"/>
    </xf>
    <xf numFmtId="8" fontId="0" fillId="0" borderId="3" xfId="0" applyNumberFormat="1" applyBorder="1" applyAlignment="1">
      <alignment horizontal="center" vertical="center"/>
    </xf>
    <xf numFmtId="8" fontId="0" fillId="0" borderId="4" xfId="0" applyNumberFormat="1" applyBorder="1" applyAlignment="1">
      <alignment horizontal="center" vertical="center"/>
    </xf>
    <xf numFmtId="8" fontId="0" fillId="0" borderId="5" xfId="0" applyNumberFormat="1" applyBorder="1" applyAlignment="1">
      <alignment horizontal="center" vertical="center"/>
    </xf>
    <xf numFmtId="0" fontId="0" fillId="2" borderId="1" xfId="0" applyFill="1" applyBorder="1" applyAlignment="1">
      <alignment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24DF-241C-4313-9A53-13B872CB1147}">
  <dimension ref="A1:O46"/>
  <sheetViews>
    <sheetView tabSelected="1" topLeftCell="A13" workbookViewId="0">
      <selection activeCell="A32" sqref="A32:H33"/>
    </sheetView>
  </sheetViews>
  <sheetFormatPr defaultRowHeight="15"/>
  <cols>
    <col min="1" max="1" width="20.7109375" customWidth="1"/>
    <col min="2" max="4" width="11.140625" customWidth="1"/>
    <col min="5" max="6" width="11.42578125" bestFit="1" customWidth="1"/>
  </cols>
  <sheetData>
    <row r="1" spans="1:10">
      <c r="A1" s="40" t="s">
        <v>0</v>
      </c>
      <c r="B1" s="40"/>
      <c r="C1" s="40"/>
      <c r="D1" s="40"/>
      <c r="E1" s="40"/>
      <c r="F1" s="40"/>
    </row>
    <row r="2" spans="1:10">
      <c r="A2" s="33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2"/>
      <c r="H2" s="2"/>
    </row>
    <row r="3" spans="1:10">
      <c r="A3" s="8" t="s">
        <v>7</v>
      </c>
      <c r="B3" s="9">
        <v>4</v>
      </c>
      <c r="C3" s="9">
        <v>4</v>
      </c>
      <c r="D3" s="9">
        <v>4</v>
      </c>
      <c r="E3" s="9">
        <v>4</v>
      </c>
      <c r="F3" s="9">
        <v>4</v>
      </c>
      <c r="G3" s="2"/>
      <c r="H3" s="2"/>
    </row>
    <row r="4" spans="1:10">
      <c r="A4" s="3" t="s">
        <v>8</v>
      </c>
      <c r="B4" s="6">
        <v>25</v>
      </c>
      <c r="C4" s="6">
        <v>25</v>
      </c>
      <c r="D4" s="6">
        <v>25</v>
      </c>
      <c r="E4" s="6">
        <v>25</v>
      </c>
      <c r="F4" s="6">
        <v>25</v>
      </c>
      <c r="G4" s="2"/>
      <c r="H4" s="2"/>
    </row>
    <row r="5" spans="1:10" ht="30" customHeight="1">
      <c r="A5" s="8" t="s">
        <v>9</v>
      </c>
      <c r="B5" s="9">
        <v>1</v>
      </c>
      <c r="C5" s="9">
        <v>1</v>
      </c>
      <c r="D5" s="9">
        <v>1</v>
      </c>
      <c r="E5" s="9">
        <v>1</v>
      </c>
      <c r="F5" s="9">
        <v>1</v>
      </c>
      <c r="G5" s="2"/>
      <c r="H5" s="2"/>
      <c r="J5" s="1"/>
    </row>
    <row r="6" spans="1:10" ht="30" customHeight="1">
      <c r="A6" s="4" t="s">
        <v>10</v>
      </c>
      <c r="B6" s="3">
        <v>20</v>
      </c>
      <c r="C6" s="4">
        <v>20</v>
      </c>
      <c r="D6" s="3">
        <v>20</v>
      </c>
      <c r="E6" s="3">
        <v>20</v>
      </c>
      <c r="F6" s="3">
        <v>20</v>
      </c>
      <c r="G6" s="2"/>
      <c r="H6" s="2"/>
    </row>
    <row r="7" spans="1:10">
      <c r="A7" s="8" t="s">
        <v>11</v>
      </c>
      <c r="B7" s="10">
        <v>0.2</v>
      </c>
      <c r="C7" s="10">
        <v>0.2</v>
      </c>
      <c r="D7" s="10">
        <v>0.2</v>
      </c>
      <c r="E7" s="10">
        <v>0.2</v>
      </c>
      <c r="F7" s="10">
        <v>0.2</v>
      </c>
      <c r="G7" s="2"/>
      <c r="H7" s="2"/>
    </row>
    <row r="8" spans="1:10">
      <c r="A8" s="4" t="s">
        <v>12</v>
      </c>
      <c r="B8" s="5">
        <v>2400</v>
      </c>
      <c r="C8" s="5">
        <v>2400</v>
      </c>
      <c r="D8" s="5">
        <v>2400</v>
      </c>
      <c r="E8" s="5">
        <v>2400</v>
      </c>
      <c r="F8" s="5">
        <v>2400</v>
      </c>
      <c r="G8" s="2"/>
      <c r="H8" s="2"/>
    </row>
    <row r="9" spans="1:10" ht="15" customHeight="1">
      <c r="A9" s="15" t="s">
        <v>13</v>
      </c>
      <c r="B9" s="19">
        <v>12000</v>
      </c>
      <c r="C9" s="20"/>
      <c r="D9" s="20"/>
      <c r="E9" s="20"/>
      <c r="F9" s="21"/>
      <c r="H9" s="2"/>
    </row>
    <row r="10" spans="1:10">
      <c r="I10" s="1"/>
    </row>
    <row r="12" spans="1:10" ht="15" customHeight="1">
      <c r="A12" s="25" t="s">
        <v>14</v>
      </c>
      <c r="B12" s="26"/>
      <c r="C12" s="26"/>
      <c r="D12" s="27"/>
      <c r="E12" s="2"/>
      <c r="F12" s="2"/>
      <c r="G12" s="2"/>
      <c r="H12" s="2"/>
    </row>
    <row r="13" spans="1:10" ht="15" customHeight="1">
      <c r="A13" s="12" t="s">
        <v>15</v>
      </c>
      <c r="B13" s="28" t="s">
        <v>16</v>
      </c>
      <c r="C13" s="29"/>
      <c r="D13" s="13">
        <v>319.57</v>
      </c>
      <c r="E13" s="2"/>
      <c r="F13" s="2"/>
      <c r="G13" s="2"/>
      <c r="H13" s="2"/>
    </row>
    <row r="14" spans="1:10" ht="15" customHeight="1">
      <c r="A14" s="36" t="s">
        <v>17</v>
      </c>
      <c r="B14" s="37" t="s">
        <v>18</v>
      </c>
      <c r="C14" s="38"/>
      <c r="D14" s="39">
        <v>4500</v>
      </c>
      <c r="E14" s="2"/>
      <c r="F14" s="2"/>
      <c r="G14" s="2"/>
      <c r="H14" s="2"/>
    </row>
    <row r="15" spans="1:10">
      <c r="A15" s="34" t="s">
        <v>19</v>
      </c>
      <c r="B15" s="35">
        <f>D14+D13</f>
        <v>4819.57</v>
      </c>
      <c r="C15" s="35"/>
      <c r="D15" s="35"/>
      <c r="E15" s="2"/>
      <c r="F15" s="2"/>
      <c r="G15" s="2"/>
      <c r="H15" s="2"/>
    </row>
    <row r="16" spans="1:10">
      <c r="G16" s="2"/>
    </row>
    <row r="17" spans="1:15">
      <c r="F17" s="2"/>
      <c r="G17" s="2"/>
      <c r="H17" s="2"/>
    </row>
    <row r="18" spans="1:15">
      <c r="A18" s="31" t="s">
        <v>20</v>
      </c>
      <c r="B18" s="31"/>
      <c r="C18" s="31"/>
      <c r="D18" s="31"/>
      <c r="E18" s="31"/>
      <c r="F18" s="31"/>
      <c r="G18" s="2"/>
      <c r="H18" s="2"/>
    </row>
    <row r="19" spans="1:15">
      <c r="A19" s="32" t="s">
        <v>21</v>
      </c>
      <c r="B19" s="33" t="s">
        <v>2</v>
      </c>
      <c r="C19" s="33" t="s">
        <v>3</v>
      </c>
      <c r="D19" s="33" t="s">
        <v>4</v>
      </c>
      <c r="E19" s="33" t="s">
        <v>5</v>
      </c>
      <c r="F19" s="33" t="s">
        <v>6</v>
      </c>
      <c r="G19" s="2"/>
      <c r="H19" s="2"/>
    </row>
    <row r="20" spans="1:15">
      <c r="A20" s="8" t="s">
        <v>22</v>
      </c>
      <c r="B20" s="9">
        <v>4</v>
      </c>
      <c r="C20" s="9">
        <v>4</v>
      </c>
      <c r="D20" s="9">
        <v>4</v>
      </c>
      <c r="E20" s="9">
        <v>4</v>
      </c>
      <c r="F20" s="9">
        <v>4</v>
      </c>
      <c r="G20" s="2"/>
      <c r="H20" s="2"/>
    </row>
    <row r="21" spans="1:15">
      <c r="A21" s="7" t="s">
        <v>23</v>
      </c>
      <c r="B21" s="3">
        <v>120</v>
      </c>
      <c r="C21" s="3">
        <v>120</v>
      </c>
      <c r="D21" s="3">
        <v>120</v>
      </c>
      <c r="E21" s="3">
        <v>120</v>
      </c>
      <c r="F21" s="3">
        <v>120</v>
      </c>
      <c r="G21" s="2"/>
      <c r="H21" s="2"/>
    </row>
    <row r="22" spans="1:15" ht="29.25">
      <c r="A22" s="8" t="s">
        <v>9</v>
      </c>
      <c r="B22" s="9">
        <v>1</v>
      </c>
      <c r="C22" s="9">
        <v>1</v>
      </c>
      <c r="D22" s="9">
        <v>1</v>
      </c>
      <c r="E22" s="9">
        <v>1</v>
      </c>
      <c r="F22" s="9">
        <v>1</v>
      </c>
      <c r="G22" s="2"/>
      <c r="H22" s="2"/>
      <c r="K22" s="1"/>
    </row>
    <row r="23" spans="1:15" ht="29.25">
      <c r="A23" s="44" t="s">
        <v>10</v>
      </c>
      <c r="B23" s="14">
        <v>20</v>
      </c>
      <c r="C23" s="14">
        <v>20</v>
      </c>
      <c r="D23" s="14">
        <v>20</v>
      </c>
      <c r="E23" s="14">
        <v>20</v>
      </c>
      <c r="F23" s="14">
        <v>20</v>
      </c>
      <c r="G23" s="2"/>
      <c r="H23" s="2"/>
    </row>
    <row r="24" spans="1:15" ht="29.25">
      <c r="A24" s="8" t="s">
        <v>24</v>
      </c>
      <c r="B24" s="9">
        <v>9.6</v>
      </c>
      <c r="C24" s="9">
        <v>9.6</v>
      </c>
      <c r="D24" s="9">
        <v>9.6</v>
      </c>
      <c r="E24" s="9">
        <v>9.6</v>
      </c>
      <c r="F24" s="9">
        <v>9.6</v>
      </c>
      <c r="G24" s="2"/>
      <c r="H24" s="2"/>
    </row>
    <row r="25" spans="1:15">
      <c r="A25" s="7" t="s">
        <v>25</v>
      </c>
      <c r="B25" s="3">
        <v>0.93</v>
      </c>
      <c r="C25" s="3">
        <v>0.93</v>
      </c>
      <c r="D25" s="3">
        <v>0.93</v>
      </c>
      <c r="E25" s="3">
        <v>0.93</v>
      </c>
      <c r="F25" s="3">
        <v>0.93</v>
      </c>
      <c r="G25" s="2"/>
      <c r="H25" s="2"/>
    </row>
    <row r="26" spans="1:15">
      <c r="A26" s="8" t="s">
        <v>26</v>
      </c>
      <c r="B26" s="9">
        <v>8.93</v>
      </c>
      <c r="C26" s="9">
        <v>8.93</v>
      </c>
      <c r="D26" s="9">
        <v>8.93</v>
      </c>
      <c r="E26" s="9">
        <v>8.93</v>
      </c>
      <c r="F26" s="9">
        <v>8.93</v>
      </c>
      <c r="G26" s="2"/>
      <c r="H26" s="2"/>
    </row>
    <row r="27" spans="1:15" ht="30" customHeight="1">
      <c r="A27" s="4" t="s">
        <v>27</v>
      </c>
      <c r="B27" s="41">
        <v>44.65</v>
      </c>
      <c r="C27" s="42"/>
      <c r="D27" s="42"/>
      <c r="E27" s="42"/>
      <c r="F27" s="43"/>
      <c r="H27" s="2"/>
      <c r="O27" s="1"/>
    </row>
    <row r="28" spans="1:15">
      <c r="A28" s="9" t="s">
        <v>28</v>
      </c>
      <c r="B28" s="22">
        <v>600</v>
      </c>
      <c r="C28" s="23"/>
      <c r="D28" s="23"/>
      <c r="E28" s="23"/>
      <c r="F28" s="24"/>
      <c r="H28" s="2"/>
    </row>
    <row r="29" spans="1:15">
      <c r="A29" s="3" t="s">
        <v>29</v>
      </c>
      <c r="B29" s="6">
        <v>3699</v>
      </c>
      <c r="C29" s="6">
        <v>3699</v>
      </c>
      <c r="D29" s="6">
        <v>3699</v>
      </c>
      <c r="E29" s="6">
        <v>3699</v>
      </c>
      <c r="F29" s="6">
        <v>3699</v>
      </c>
      <c r="G29" s="2"/>
      <c r="H29" s="2"/>
    </row>
    <row r="30" spans="1:15">
      <c r="A30" s="9" t="s">
        <v>30</v>
      </c>
      <c r="B30" s="11">
        <v>1904</v>
      </c>
      <c r="C30" s="11">
        <v>1904</v>
      </c>
      <c r="D30" s="11">
        <v>1904</v>
      </c>
      <c r="E30" s="11">
        <v>1904</v>
      </c>
      <c r="F30" s="11">
        <v>1904</v>
      </c>
      <c r="G30" s="2"/>
      <c r="H30" s="2"/>
    </row>
    <row r="31" spans="1:15">
      <c r="A31" s="14" t="s">
        <v>31</v>
      </c>
      <c r="B31" s="16">
        <f>3699*5+1904*5</f>
        <v>28015</v>
      </c>
      <c r="C31" s="17"/>
      <c r="D31" s="17"/>
      <c r="E31" s="17"/>
      <c r="F31" s="18"/>
      <c r="G31" s="2"/>
      <c r="H31" s="2"/>
      <c r="I31" s="1"/>
    </row>
    <row r="34" spans="1:8">
      <c r="A34" s="9" t="s">
        <v>32</v>
      </c>
      <c r="B34" s="22">
        <f>H19+B28+B27+B15+B9+B31</f>
        <v>45479.22</v>
      </c>
      <c r="C34" s="23"/>
      <c r="D34" s="23"/>
      <c r="E34" s="23"/>
      <c r="F34" s="24"/>
      <c r="H34" s="2"/>
    </row>
    <row r="35" spans="1:8">
      <c r="C35" s="30"/>
      <c r="D35" s="30"/>
      <c r="E35" s="30"/>
      <c r="F35" s="30"/>
      <c r="G35" s="2"/>
      <c r="H35" s="2"/>
    </row>
    <row r="36" spans="1:8">
      <c r="C36" s="2"/>
      <c r="D36" s="2"/>
      <c r="E36" s="2"/>
      <c r="F36" s="2"/>
      <c r="G36" s="2"/>
      <c r="H36" s="2"/>
    </row>
    <row r="37" spans="1:8">
      <c r="C37" s="2"/>
      <c r="D37" s="2"/>
      <c r="E37" s="2"/>
      <c r="F37" s="2"/>
      <c r="G37" s="2"/>
      <c r="H37" s="2"/>
    </row>
    <row r="38" spans="1:8">
      <c r="C38" s="2"/>
      <c r="D38" s="2"/>
      <c r="E38" s="2"/>
      <c r="F38" s="2"/>
      <c r="G38" s="2"/>
    </row>
    <row r="39" spans="1:8">
      <c r="C39" s="2"/>
      <c r="D39" s="2"/>
      <c r="E39" s="2"/>
      <c r="F39" s="2"/>
      <c r="G39" s="2"/>
    </row>
    <row r="40" spans="1:8">
      <c r="C40" s="2"/>
      <c r="D40" s="2"/>
      <c r="E40" s="2"/>
      <c r="F40" s="2"/>
      <c r="G40" s="2"/>
    </row>
    <row r="41" spans="1:8">
      <c r="C41" s="2"/>
      <c r="D41" s="2"/>
      <c r="E41" s="2"/>
      <c r="F41" s="2"/>
      <c r="G41" s="2"/>
    </row>
    <row r="42" spans="1:8">
      <c r="C42" s="2"/>
      <c r="G42" s="2"/>
    </row>
    <row r="43" spans="1:8">
      <c r="C43" s="2"/>
      <c r="G43" s="2"/>
      <c r="H43" s="2"/>
    </row>
    <row r="44" spans="1:8" ht="15.75" customHeight="1">
      <c r="C44" s="2"/>
      <c r="G44" s="2"/>
      <c r="H44" s="2"/>
    </row>
    <row r="45" spans="1:8">
      <c r="C45" s="2"/>
    </row>
    <row r="46" spans="1:8">
      <c r="C46" s="2"/>
    </row>
  </sheetData>
  <mergeCells count="11">
    <mergeCell ref="B9:F9"/>
    <mergeCell ref="A1:F1"/>
    <mergeCell ref="A18:F18"/>
    <mergeCell ref="B27:F27"/>
    <mergeCell ref="B28:F28"/>
    <mergeCell ref="B31:F31"/>
    <mergeCell ref="B34:F34"/>
    <mergeCell ref="A12:D12"/>
    <mergeCell ref="B15:D15"/>
    <mergeCell ref="B13:C13"/>
    <mergeCell ref="B14:C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SESI SENAI-SP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CFP 106  Escola SENAI - Vila Leopoldina</dc:creator>
  <cp:keywords/>
  <dc:description/>
  <cp:lastModifiedBy/>
  <cp:revision/>
  <dcterms:created xsi:type="dcterms:W3CDTF">2026-05-29T16:04:10Z</dcterms:created>
  <dcterms:modified xsi:type="dcterms:W3CDTF">2026-07-29T01:53:23Z</dcterms:modified>
  <cp:category/>
  <cp:contentStatus/>
</cp:coreProperties>
</file>